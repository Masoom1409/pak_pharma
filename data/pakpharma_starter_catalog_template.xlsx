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  <sheet xmlns:r="http://schemas.openxmlformats.org/officeDocument/2006/relationships" name="Demonstration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00000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sz val="10"/>
    </font>
    <font>
      <name val="Calibri"/>
      <b val="1"/>
      <sz val="10.5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Demonstration Stock Valuation by Medicine (PKR)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'Demonstration Catalog'!P1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'Demonstration Catalog'!$A$2:$A$21</f>
            </numRef>
          </cat>
          <val>
            <numRef>
              <f>'Demonstration Catalog'!$P$2:$P$21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Medicine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Cost Value (PKR)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17" customWidth="1" min="9" max="9"/>
    <col width="24" customWidth="1" min="10" max="10"/>
    <col width="20" customWidth="1" min="11" max="11"/>
    <col width="13" customWidth="1" min="12" max="12"/>
    <col width="16" customWidth="1" min="13" max="13"/>
    <col width="15" customWidth="1" min="14" max="14"/>
    <col width="15" customWidth="1" min="15" max="15"/>
    <col width="29" customWidth="1" min="16" max="16"/>
  </cols>
  <sheetData>
    <row r="1" ht="24" customHeight="1">
      <c r="A1" s="1" t="inlineStr">
        <is>
          <t>Medicine Name</t>
        </is>
      </c>
      <c r="B1" s="1" t="inlineStr">
        <is>
          <t>Generic / Salt Name</t>
        </is>
      </c>
      <c r="C1" s="1" t="inlineStr">
        <is>
          <t>Manufacturer</t>
        </is>
      </c>
      <c r="D1" s="1" t="inlineStr">
        <is>
          <t>Category</t>
        </is>
      </c>
      <c r="E1" s="1" t="inlineStr">
        <is>
          <t>Dosage Form</t>
        </is>
      </c>
      <c r="F1" s="1" t="inlineStr">
        <is>
          <t>Strength</t>
        </is>
      </c>
      <c r="G1" s="1" t="inlineStr">
        <is>
          <t>Pack Size</t>
        </is>
      </c>
      <c r="H1" s="1" t="inlineStr">
        <is>
          <t>Unit</t>
        </is>
      </c>
      <c r="I1" s="1" t="inlineStr">
        <is>
          <t>Barcode</t>
        </is>
      </c>
      <c r="J1" s="1" t="inlineStr">
        <is>
          <t>Purchase Price (PKR)</t>
        </is>
      </c>
      <c r="K1" s="1" t="inlineStr">
        <is>
          <t>Sale Price (PKR)</t>
        </is>
      </c>
      <c r="L1" s="1" t="inlineStr">
        <is>
          <t>Min Stock</t>
        </is>
      </c>
      <c r="M1" s="1" t="inlineStr">
        <is>
          <t>Batch Number</t>
        </is>
      </c>
      <c r="N1" s="1" t="inlineStr">
        <is>
          <t>Expiry Date</t>
        </is>
      </c>
      <c r="O1" s="1" t="inlineStr">
        <is>
          <t>Initial Qty</t>
        </is>
      </c>
      <c r="P1" s="1" t="inlineStr">
        <is>
          <t>Opening Cost (PKR) [Auto]</t>
        </is>
      </c>
    </row>
    <row r="2">
      <c r="A2" s="2" t="inlineStr">
        <is>
          <t>Panadol Advance [Example]</t>
        </is>
      </c>
      <c r="B2" s="2" t="inlineStr">
        <is>
          <t>Paracetamol</t>
        </is>
      </c>
      <c r="C2" s="2" t="inlineStr">
        <is>
          <t>Haleon Pakistan Ltd</t>
        </is>
      </c>
      <c r="D2" s="2" t="inlineStr">
        <is>
          <t>Analgesic</t>
        </is>
      </c>
      <c r="E2" s="2" t="inlineStr">
        <is>
          <t>Tablet</t>
        </is>
      </c>
      <c r="F2" s="2" t="inlineStr">
        <is>
          <t>500 mg</t>
        </is>
      </c>
      <c r="G2" s="3" t="n">
        <v>10</v>
      </c>
      <c r="H2" s="2" t="inlineStr">
        <is>
          <t>Tablet</t>
        </is>
      </c>
      <c r="I2" s="4" t="n">
        <v>2009900000019</v>
      </c>
      <c r="J2" s="5" t="n">
        <v>3.4</v>
      </c>
      <c r="K2" s="5" t="n">
        <v>4</v>
      </c>
      <c r="L2" s="3" t="n">
        <v>50</v>
      </c>
      <c r="M2" s="2" t="inlineStr">
        <is>
          <t>BATCH-EX-01</t>
        </is>
      </c>
      <c r="N2" s="2" t="inlineStr">
        <is>
          <t>2028-12-31</t>
        </is>
      </c>
      <c r="O2" s="3" t="n">
        <v>100</v>
      </c>
      <c r="P2" s="5">
        <f>IF(A2="", 0, J2*O2)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32" customWidth="1" min="3" max="3"/>
    <col width="21" customWidth="1" min="4" max="4"/>
    <col width="15" customWidth="1" min="5" max="5"/>
    <col width="18" customWidth="1" min="6" max="6"/>
    <col width="13" customWidth="1" min="7" max="7"/>
    <col width="12" customWidth="1" min="8" max="8"/>
    <col width="17" customWidth="1" min="9" max="9"/>
    <col width="24" customWidth="1" min="10" max="10"/>
    <col width="20" customWidth="1" min="11" max="11"/>
    <col width="13" customWidth="1" min="12" max="12"/>
    <col width="16" customWidth="1" min="13" max="13"/>
    <col width="15" customWidth="1" min="14" max="14"/>
    <col width="15" customWidth="1" min="15" max="15"/>
    <col width="29" customWidth="1" min="16" max="16"/>
  </cols>
  <sheetData>
    <row r="1" ht="24" customHeight="1">
      <c r="A1" s="1" t="inlineStr">
        <is>
          <t>Medicine Name</t>
        </is>
      </c>
      <c r="B1" s="1" t="inlineStr">
        <is>
          <t>Generic / Salt Name</t>
        </is>
      </c>
      <c r="C1" s="1" t="inlineStr">
        <is>
          <t>Manufacturer</t>
        </is>
      </c>
      <c r="D1" s="1" t="inlineStr">
        <is>
          <t>Category</t>
        </is>
      </c>
      <c r="E1" s="1" t="inlineStr">
        <is>
          <t>Dosage Form</t>
        </is>
      </c>
      <c r="F1" s="1" t="inlineStr">
        <is>
          <t>Strength</t>
        </is>
      </c>
      <c r="G1" s="1" t="inlineStr">
        <is>
          <t>Pack Size</t>
        </is>
      </c>
      <c r="H1" s="1" t="inlineStr">
        <is>
          <t>Unit</t>
        </is>
      </c>
      <c r="I1" s="1" t="inlineStr">
        <is>
          <t>Barcode</t>
        </is>
      </c>
      <c r="J1" s="1" t="inlineStr">
        <is>
          <t>Purchase Price (PKR)</t>
        </is>
      </c>
      <c r="K1" s="1" t="inlineStr">
        <is>
          <t>Sale Price (PKR)</t>
        </is>
      </c>
      <c r="L1" s="1" t="inlineStr">
        <is>
          <t>Min Stock</t>
        </is>
      </c>
      <c r="M1" s="1" t="inlineStr">
        <is>
          <t>Batch Number</t>
        </is>
      </c>
      <c r="N1" s="1" t="inlineStr">
        <is>
          <t>Expiry Date</t>
        </is>
      </c>
      <c r="O1" s="1" t="inlineStr">
        <is>
          <t>Initial Qty</t>
        </is>
      </c>
      <c r="P1" s="1" t="inlineStr">
        <is>
          <t>Opening Cost (PKR) [Auto]</t>
        </is>
      </c>
    </row>
    <row r="2">
      <c r="A2" s="6" t="inlineStr">
        <is>
          <t>Panadol Advance [DEMO]</t>
        </is>
      </c>
      <c r="B2" s="6" t="inlineStr">
        <is>
          <t>Paracetamol</t>
        </is>
      </c>
      <c r="C2" s="6" t="inlineStr">
        <is>
          <t>Haleon Pakistan Ltd</t>
        </is>
      </c>
      <c r="D2" s="6" t="inlineStr">
        <is>
          <t>Analgesic</t>
        </is>
      </c>
      <c r="E2" s="6" t="inlineStr">
        <is>
          <t>Tablet</t>
        </is>
      </c>
      <c r="F2" s="6" t="inlineStr">
        <is>
          <t>500 mg</t>
        </is>
      </c>
      <c r="G2" s="7" t="n">
        <v>10</v>
      </c>
      <c r="H2" s="6" t="inlineStr">
        <is>
          <t>Tablet</t>
        </is>
      </c>
      <c r="I2" s="8" t="n">
        <v>2009900000019</v>
      </c>
      <c r="J2" s="9" t="n">
        <v>3.4</v>
      </c>
      <c r="K2" s="9" t="n">
        <v>4</v>
      </c>
      <c r="L2" s="7" t="n">
        <v>50</v>
      </c>
      <c r="M2" s="6" t="inlineStr">
        <is>
          <t>DEMO-B01</t>
        </is>
      </c>
      <c r="N2" s="6" t="inlineStr">
        <is>
          <t>2028-06-30</t>
        </is>
      </c>
      <c r="O2" s="7" t="n">
        <v>200</v>
      </c>
      <c r="P2" s="9">
        <f>J2*O2</f>
        <v/>
      </c>
    </row>
    <row r="3">
      <c r="A3" s="2" t="inlineStr">
        <is>
          <t>Calpol Pediatric [DEMO]</t>
        </is>
      </c>
      <c r="B3" s="2" t="inlineStr">
        <is>
          <t>Paracetamol</t>
        </is>
      </c>
      <c r="C3" s="2" t="inlineStr">
        <is>
          <t>GSK Pakistan</t>
        </is>
      </c>
      <c r="D3" s="2" t="inlineStr">
        <is>
          <t>Syrup / Pediatric</t>
        </is>
      </c>
      <c r="E3" s="2" t="inlineStr">
        <is>
          <t>Suspension</t>
        </is>
      </c>
      <c r="F3" s="2" t="inlineStr">
        <is>
          <t>120 mg/5 ml</t>
        </is>
      </c>
      <c r="G3" s="3" t="n">
        <v>1</v>
      </c>
      <c r="H3" s="2" t="inlineStr">
        <is>
          <t>Bottle</t>
        </is>
      </c>
      <c r="I3" s="4" t="n">
        <v>2009900000026</v>
      </c>
      <c r="J3" s="5" t="n">
        <v>95</v>
      </c>
      <c r="K3" s="5" t="n">
        <v>115</v>
      </c>
      <c r="L3" s="3" t="n">
        <v>15</v>
      </c>
      <c r="M3" s="2" t="inlineStr">
        <is>
          <t>DEMO-B02</t>
        </is>
      </c>
      <c r="N3" s="2" t="inlineStr">
        <is>
          <t>2027-11-30</t>
        </is>
      </c>
      <c r="O3" s="3" t="n">
        <v>45</v>
      </c>
      <c r="P3" s="5">
        <f>J3*O3</f>
        <v/>
      </c>
    </row>
    <row r="4">
      <c r="A4" s="6" t="inlineStr">
        <is>
          <t>Augmentin [DEMO]</t>
        </is>
      </c>
      <c r="B4" s="6" t="inlineStr">
        <is>
          <t>Amoxicillin + Clavulanic Acid</t>
        </is>
      </c>
      <c r="C4" s="6" t="inlineStr">
        <is>
          <t>GSK Pakistan</t>
        </is>
      </c>
      <c r="D4" s="6" t="inlineStr">
        <is>
          <t>Antibiotic</t>
        </is>
      </c>
      <c r="E4" s="6" t="inlineStr">
        <is>
          <t>Tablet</t>
        </is>
      </c>
      <c r="F4" s="6" t="inlineStr">
        <is>
          <t>625 mg</t>
        </is>
      </c>
      <c r="G4" s="7" t="n">
        <v>6</v>
      </c>
      <c r="H4" s="6" t="inlineStr">
        <is>
          <t>Tablet</t>
        </is>
      </c>
      <c r="I4" s="8" t="n">
        <v>2009900000033</v>
      </c>
      <c r="J4" s="9" t="n">
        <v>38</v>
      </c>
      <c r="K4" s="9" t="n">
        <v>45</v>
      </c>
      <c r="L4" s="7" t="n">
        <v>30</v>
      </c>
      <c r="M4" s="6" t="inlineStr">
        <is>
          <t>DEMO-B03</t>
        </is>
      </c>
      <c r="N4" s="6" t="inlineStr">
        <is>
          <t>2027-09-30</t>
        </is>
      </c>
      <c r="O4" s="7" t="n">
        <v>120</v>
      </c>
      <c r="P4" s="9">
        <f>J4*O4</f>
        <v/>
      </c>
    </row>
    <row r="5">
      <c r="A5" s="2" t="inlineStr">
        <is>
          <t>Amoxil [DEMO]</t>
        </is>
      </c>
      <c r="B5" s="2" t="inlineStr">
        <is>
          <t>Amoxicillin</t>
        </is>
      </c>
      <c r="C5" s="2" t="inlineStr">
        <is>
          <t>GSK Pakistan</t>
        </is>
      </c>
      <c r="D5" s="2" t="inlineStr">
        <is>
          <t>Antibiotic</t>
        </is>
      </c>
      <c r="E5" s="2" t="inlineStr">
        <is>
          <t>Capsule</t>
        </is>
      </c>
      <c r="F5" s="2" t="inlineStr">
        <is>
          <t>500 mg</t>
        </is>
      </c>
      <c r="G5" s="3" t="n">
        <v>10</v>
      </c>
      <c r="H5" s="2" t="inlineStr">
        <is>
          <t>Capsule</t>
        </is>
      </c>
      <c r="I5" s="4" t="n">
        <v>2009900000040</v>
      </c>
      <c r="J5" s="5" t="n">
        <v>14.5</v>
      </c>
      <c r="K5" s="5" t="n">
        <v>18</v>
      </c>
      <c r="L5" s="3" t="n">
        <v>40</v>
      </c>
      <c r="M5" s="2" t="inlineStr">
        <is>
          <t>DEMO-B04</t>
        </is>
      </c>
      <c r="N5" s="2" t="inlineStr">
        <is>
          <t>2028-01-31</t>
        </is>
      </c>
      <c r="O5" s="3" t="n">
        <v>150</v>
      </c>
      <c r="P5" s="5">
        <f>J5*O5</f>
        <v/>
      </c>
    </row>
    <row r="6">
      <c r="A6" s="6" t="inlineStr">
        <is>
          <t>Brufen [DEMO]</t>
        </is>
      </c>
      <c r="B6" s="6" t="inlineStr">
        <is>
          <t>Ibuprofen</t>
        </is>
      </c>
      <c r="C6" s="6" t="inlineStr">
        <is>
          <t>Abbott Laboratories Pakistan</t>
        </is>
      </c>
      <c r="D6" s="6" t="inlineStr">
        <is>
          <t>Analgesic</t>
        </is>
      </c>
      <c r="E6" s="6" t="inlineStr">
        <is>
          <t>Tablet</t>
        </is>
      </c>
      <c r="F6" s="6" t="inlineStr">
        <is>
          <t>400 mg</t>
        </is>
      </c>
      <c r="G6" s="7" t="n">
        <v>10</v>
      </c>
      <c r="H6" s="6" t="inlineStr">
        <is>
          <t>Tablet</t>
        </is>
      </c>
      <c r="I6" s="8" t="n">
        <v>2009900000057</v>
      </c>
      <c r="J6" s="9" t="n">
        <v>5</v>
      </c>
      <c r="K6" s="9" t="n">
        <v>6.5</v>
      </c>
      <c r="L6" s="7" t="n">
        <v>40</v>
      </c>
      <c r="M6" s="6" t="inlineStr">
        <is>
          <t>DEMO-B05</t>
        </is>
      </c>
      <c r="N6" s="6" t="inlineStr">
        <is>
          <t>2028-03-31</t>
        </is>
      </c>
      <c r="O6" s="7" t="n">
        <v>180</v>
      </c>
      <c r="P6" s="9">
        <f>J6*O6</f>
        <v/>
      </c>
    </row>
    <row r="7">
      <c r="A7" s="2" t="inlineStr">
        <is>
          <t>Arinac Forte [DEMO]</t>
        </is>
      </c>
      <c r="B7" s="2" t="inlineStr">
        <is>
          <t>Ibuprofen + Pseudoephedrine</t>
        </is>
      </c>
      <c r="C7" s="2" t="inlineStr">
        <is>
          <t>Abbott Laboratories Pakistan</t>
        </is>
      </c>
      <c r="D7" s="2" t="inlineStr">
        <is>
          <t>Analgesic</t>
        </is>
      </c>
      <c r="E7" s="2" t="inlineStr">
        <is>
          <t>Tablet</t>
        </is>
      </c>
      <c r="F7" s="2" t="inlineStr">
        <is>
          <t>400 mg / 60 mg</t>
        </is>
      </c>
      <c r="G7" s="3" t="n">
        <v>10</v>
      </c>
      <c r="H7" s="2" t="inlineStr">
        <is>
          <t>Tablet</t>
        </is>
      </c>
      <c r="I7" s="4" t="n">
        <v>2009900000064</v>
      </c>
      <c r="J7" s="5" t="n">
        <v>8.5</v>
      </c>
      <c r="K7" s="5" t="n">
        <v>11</v>
      </c>
      <c r="L7" s="3" t="n">
        <v>30</v>
      </c>
      <c r="M7" s="2" t="inlineStr">
        <is>
          <t>DEMO-B06</t>
        </is>
      </c>
      <c r="N7" s="2" t="inlineStr">
        <is>
          <t>2027-12-31</t>
        </is>
      </c>
      <c r="O7" s="3" t="n">
        <v>100</v>
      </c>
      <c r="P7" s="5">
        <f>J7*O7</f>
        <v/>
      </c>
    </row>
    <row r="8">
      <c r="A8" s="6" t="inlineStr">
        <is>
          <t>Surbex Z [DEMO]</t>
        </is>
      </c>
      <c r="B8" s="6" t="inlineStr">
        <is>
          <t>Multivitamin + Vitamin C + Zinc</t>
        </is>
      </c>
      <c r="C8" s="6" t="inlineStr">
        <is>
          <t>Abbott Laboratories Pakistan</t>
        </is>
      </c>
      <c r="D8" s="6" t="inlineStr">
        <is>
          <t>Vitamins</t>
        </is>
      </c>
      <c r="E8" s="6" t="inlineStr">
        <is>
          <t>Tablet</t>
        </is>
      </c>
      <c r="F8" s="6" t="inlineStr">
        <is>
          <t>Standard</t>
        </is>
      </c>
      <c r="G8" s="7" t="n">
        <v>30</v>
      </c>
      <c r="H8" s="6" t="inlineStr">
        <is>
          <t>Tablet</t>
        </is>
      </c>
      <c r="I8" s="8" t="n">
        <v>2009900000071</v>
      </c>
      <c r="J8" s="9" t="n">
        <v>12</v>
      </c>
      <c r="K8" s="9" t="n">
        <v>15.5</v>
      </c>
      <c r="L8" s="7" t="n">
        <v>30</v>
      </c>
      <c r="M8" s="6" t="inlineStr">
        <is>
          <t>DEMO-B07</t>
        </is>
      </c>
      <c r="N8" s="6" t="inlineStr">
        <is>
          <t>2028-05-31</t>
        </is>
      </c>
      <c r="O8" s="7" t="n">
        <v>90</v>
      </c>
      <c r="P8" s="9">
        <f>J8*O8</f>
        <v/>
      </c>
    </row>
    <row r="9">
      <c r="A9" s="2" t="inlineStr">
        <is>
          <t>Risek [DEMO]</t>
        </is>
      </c>
      <c r="B9" s="2" t="inlineStr">
        <is>
          <t>Omeprazole</t>
        </is>
      </c>
      <c r="C9" s="2" t="inlineStr">
        <is>
          <t>Getz Pharma</t>
        </is>
      </c>
      <c r="D9" s="2" t="inlineStr">
        <is>
          <t>Antacid / GI</t>
        </is>
      </c>
      <c r="E9" s="2" t="inlineStr">
        <is>
          <t>Capsule</t>
        </is>
      </c>
      <c r="F9" s="2" t="inlineStr">
        <is>
          <t>20 mg</t>
        </is>
      </c>
      <c r="G9" s="3" t="n">
        <v>14</v>
      </c>
      <c r="H9" s="2" t="inlineStr">
        <is>
          <t>Capsule</t>
        </is>
      </c>
      <c r="I9" s="4" t="n">
        <v>2009900000088</v>
      </c>
      <c r="J9" s="5" t="n">
        <v>21</v>
      </c>
      <c r="K9" s="5" t="n">
        <v>26</v>
      </c>
      <c r="L9" s="3" t="n">
        <v>28</v>
      </c>
      <c r="M9" s="2" t="inlineStr">
        <is>
          <t>DEMO-B08</t>
        </is>
      </c>
      <c r="N9" s="2" t="inlineStr">
        <is>
          <t>2028-04-30</t>
        </is>
      </c>
      <c r="O9" s="3" t="n">
        <v>140</v>
      </c>
      <c r="P9" s="5">
        <f>J9*O9</f>
        <v/>
      </c>
    </row>
    <row r="10">
      <c r="A10" s="6" t="inlineStr">
        <is>
          <t>Nexum [DEMO]</t>
        </is>
      </c>
      <c r="B10" s="6" t="inlineStr">
        <is>
          <t>Esomeprazole</t>
        </is>
      </c>
      <c r="C10" s="6" t="inlineStr">
        <is>
          <t>Getz Pharma</t>
        </is>
      </c>
      <c r="D10" s="6" t="inlineStr">
        <is>
          <t>Antacid / GI</t>
        </is>
      </c>
      <c r="E10" s="6" t="inlineStr">
        <is>
          <t>Capsule</t>
        </is>
      </c>
      <c r="F10" s="6" t="inlineStr">
        <is>
          <t>40 mg</t>
        </is>
      </c>
      <c r="G10" s="7" t="n">
        <v>14</v>
      </c>
      <c r="H10" s="6" t="inlineStr">
        <is>
          <t>Capsule</t>
        </is>
      </c>
      <c r="I10" s="8" t="n">
        <v>2009900000095</v>
      </c>
      <c r="J10" s="9" t="n">
        <v>28</v>
      </c>
      <c r="K10" s="9" t="n">
        <v>35</v>
      </c>
      <c r="L10" s="7" t="n">
        <v>28</v>
      </c>
      <c r="M10" s="6" t="inlineStr">
        <is>
          <t>DEMO-B09</t>
        </is>
      </c>
      <c r="N10" s="6" t="inlineStr">
        <is>
          <t>2028-02-28</t>
        </is>
      </c>
      <c r="O10" s="7" t="n">
        <v>112</v>
      </c>
      <c r="P10" s="9">
        <f>J10*O10</f>
        <v/>
      </c>
    </row>
    <row r="11">
      <c r="A11" s="2" t="inlineStr">
        <is>
          <t>Lipiget [DEMO]</t>
        </is>
      </c>
      <c r="B11" s="2" t="inlineStr">
        <is>
          <t>Atorvastatin</t>
        </is>
      </c>
      <c r="C11" s="2" t="inlineStr">
        <is>
          <t>Getz Pharma</t>
        </is>
      </c>
      <c r="D11" s="2" t="inlineStr">
        <is>
          <t>Cardiovascular</t>
        </is>
      </c>
      <c r="E11" s="2" t="inlineStr">
        <is>
          <t>Tablet</t>
        </is>
      </c>
      <c r="F11" s="2" t="inlineStr">
        <is>
          <t>20 mg</t>
        </is>
      </c>
      <c r="G11" s="3" t="n">
        <v>10</v>
      </c>
      <c r="H11" s="2" t="inlineStr">
        <is>
          <t>Tablet</t>
        </is>
      </c>
      <c r="I11" s="4" t="n">
        <v>2009900000101</v>
      </c>
      <c r="J11" s="5" t="n">
        <v>30</v>
      </c>
      <c r="K11" s="5" t="n">
        <v>38</v>
      </c>
      <c r="L11" s="3" t="n">
        <v>20</v>
      </c>
      <c r="M11" s="2" t="inlineStr">
        <is>
          <t>DEMO-B10</t>
        </is>
      </c>
      <c r="N11" s="2" t="inlineStr">
        <is>
          <t>2028-08-31</t>
        </is>
      </c>
      <c r="O11" s="3" t="n">
        <v>80</v>
      </c>
      <c r="P11" s="5">
        <f>J11*O11</f>
        <v/>
      </c>
    </row>
    <row r="12">
      <c r="A12" s="6" t="inlineStr">
        <is>
          <t>Glucophage [DEMO]</t>
        </is>
      </c>
      <c r="B12" s="6" t="inlineStr">
        <is>
          <t>Metformin HCl</t>
        </is>
      </c>
      <c r="C12" s="6" t="inlineStr">
        <is>
          <t>Martin Dow</t>
        </is>
      </c>
      <c r="D12" s="6" t="inlineStr">
        <is>
          <t>Antidiabetic</t>
        </is>
      </c>
      <c r="E12" s="6" t="inlineStr">
        <is>
          <t>Tablet</t>
        </is>
      </c>
      <c r="F12" s="6" t="inlineStr">
        <is>
          <t>500 mg</t>
        </is>
      </c>
      <c r="G12" s="7" t="n">
        <v>10</v>
      </c>
      <c r="H12" s="6" t="inlineStr">
        <is>
          <t>Tablet</t>
        </is>
      </c>
      <c r="I12" s="8" t="n">
        <v>2009900000118</v>
      </c>
      <c r="J12" s="9" t="n">
        <v>6</v>
      </c>
      <c r="K12" s="9" t="n">
        <v>8</v>
      </c>
      <c r="L12" s="7" t="n">
        <v>50</v>
      </c>
      <c r="M12" s="6" t="inlineStr">
        <is>
          <t>DEMO-B11</t>
        </is>
      </c>
      <c r="N12" s="6" t="inlineStr">
        <is>
          <t>2028-07-31</t>
        </is>
      </c>
      <c r="O12" s="7" t="n">
        <v>200</v>
      </c>
      <c r="P12" s="9">
        <f>J12*O12</f>
        <v/>
      </c>
    </row>
    <row r="13">
      <c r="A13" s="2" t="inlineStr">
        <is>
          <t>Concor [DEMO]</t>
        </is>
      </c>
      <c r="B13" s="2" t="inlineStr">
        <is>
          <t>Bisoprolol Fumarate</t>
        </is>
      </c>
      <c r="C13" s="2" t="inlineStr">
        <is>
          <t>Martin Dow</t>
        </is>
      </c>
      <c r="D13" s="2" t="inlineStr">
        <is>
          <t>Cardiovascular</t>
        </is>
      </c>
      <c r="E13" s="2" t="inlineStr">
        <is>
          <t>Tablet</t>
        </is>
      </c>
      <c r="F13" s="2" t="inlineStr">
        <is>
          <t>5 mg</t>
        </is>
      </c>
      <c r="G13" s="3" t="n">
        <v>14</v>
      </c>
      <c r="H13" s="2" t="inlineStr">
        <is>
          <t>Tablet</t>
        </is>
      </c>
      <c r="I13" s="4" t="n">
        <v>2009900000125</v>
      </c>
      <c r="J13" s="5" t="n">
        <v>16</v>
      </c>
      <c r="K13" s="5" t="n">
        <v>20.5</v>
      </c>
      <c r="L13" s="3" t="n">
        <v>28</v>
      </c>
      <c r="M13" s="2" t="inlineStr">
        <is>
          <t>DEMO-B12</t>
        </is>
      </c>
      <c r="N13" s="2" t="inlineStr">
        <is>
          <t>2028-09-30</t>
        </is>
      </c>
      <c r="O13" s="3" t="n">
        <v>140</v>
      </c>
      <c r="P13" s="5">
        <f>J13*O13</f>
        <v/>
      </c>
    </row>
    <row r="14">
      <c r="A14" s="6" t="inlineStr">
        <is>
          <t>Flagyl [DEMO]</t>
        </is>
      </c>
      <c r="B14" s="6" t="inlineStr">
        <is>
          <t>Metronidazole</t>
        </is>
      </c>
      <c r="C14" s="6" t="inlineStr">
        <is>
          <t>Sanofi-Aventis Pakistan</t>
        </is>
      </c>
      <c r="D14" s="6" t="inlineStr">
        <is>
          <t>Antibiotic</t>
        </is>
      </c>
      <c r="E14" s="6" t="inlineStr">
        <is>
          <t>Tablet</t>
        </is>
      </c>
      <c r="F14" s="6" t="inlineStr">
        <is>
          <t>400 mg</t>
        </is>
      </c>
      <c r="G14" s="7" t="n">
        <v>10</v>
      </c>
      <c r="H14" s="6" t="inlineStr">
        <is>
          <t>Tablet</t>
        </is>
      </c>
      <c r="I14" s="8" t="n">
        <v>2009900000132</v>
      </c>
      <c r="J14" s="9" t="n">
        <v>4.2</v>
      </c>
      <c r="K14" s="9" t="n">
        <v>5.5</v>
      </c>
      <c r="L14" s="7" t="n">
        <v>40</v>
      </c>
      <c r="M14" s="6" t="inlineStr">
        <is>
          <t>DEMO-B13</t>
        </is>
      </c>
      <c r="N14" s="6" t="inlineStr">
        <is>
          <t>2028-03-31</t>
        </is>
      </c>
      <c r="O14" s="7" t="n">
        <v>160</v>
      </c>
      <c r="P14" s="9">
        <f>J14*O14</f>
        <v/>
      </c>
    </row>
    <row r="15">
      <c r="A15" s="2" t="inlineStr">
        <is>
          <t>Gravinate [DEMO]</t>
        </is>
      </c>
      <c r="B15" s="2" t="inlineStr">
        <is>
          <t>Dimenhydrinate</t>
        </is>
      </c>
      <c r="C15" s="2" t="inlineStr">
        <is>
          <t>The Searle Company</t>
        </is>
      </c>
      <c r="D15" s="2" t="inlineStr">
        <is>
          <t>Antacid / GI</t>
        </is>
      </c>
      <c r="E15" s="2" t="inlineStr">
        <is>
          <t>Tablet</t>
        </is>
      </c>
      <c r="F15" s="2" t="inlineStr">
        <is>
          <t>50 mg</t>
        </is>
      </c>
      <c r="G15" s="3" t="n">
        <v>10</v>
      </c>
      <c r="H15" s="2" t="inlineStr">
        <is>
          <t>Tablet</t>
        </is>
      </c>
      <c r="I15" s="4" t="n">
        <v>2009900000149</v>
      </c>
      <c r="J15" s="5" t="n">
        <v>3</v>
      </c>
      <c r="K15" s="5" t="n">
        <v>4</v>
      </c>
      <c r="L15" s="3" t="n">
        <v>30</v>
      </c>
      <c r="M15" s="2" t="inlineStr">
        <is>
          <t>DEMO-B14</t>
        </is>
      </c>
      <c r="N15" s="2" t="inlineStr">
        <is>
          <t>2028-10-31</t>
        </is>
      </c>
      <c r="O15" s="3" t="n">
        <v>100</v>
      </c>
      <c r="P15" s="5">
        <f>J15*O15</f>
        <v/>
      </c>
    </row>
    <row r="16">
      <c r="A16" s="6" t="inlineStr">
        <is>
          <t>Ponstan [DEMO]</t>
        </is>
      </c>
      <c r="B16" s="6" t="inlineStr">
        <is>
          <t>Mefenamic Acid</t>
        </is>
      </c>
      <c r="C16" s="6" t="inlineStr">
        <is>
          <t>Pfizer Pakistan</t>
        </is>
      </c>
      <c r="D16" s="6" t="inlineStr">
        <is>
          <t>Analgesic</t>
        </is>
      </c>
      <c r="E16" s="6" t="inlineStr">
        <is>
          <t>Tablet</t>
        </is>
      </c>
      <c r="F16" s="6" t="inlineStr">
        <is>
          <t>250 mg</t>
        </is>
      </c>
      <c r="G16" s="7" t="n">
        <v>10</v>
      </c>
      <c r="H16" s="6" t="inlineStr">
        <is>
          <t>Tablet</t>
        </is>
      </c>
      <c r="I16" s="8" t="n">
        <v>2009900000156</v>
      </c>
      <c r="J16" s="9" t="n">
        <v>4.5</v>
      </c>
      <c r="K16" s="9" t="n">
        <v>6</v>
      </c>
      <c r="L16" s="7" t="n">
        <v>30</v>
      </c>
      <c r="M16" s="6" t="inlineStr">
        <is>
          <t>DEMO-B15</t>
        </is>
      </c>
      <c r="N16" s="6" t="inlineStr">
        <is>
          <t>2028-05-31</t>
        </is>
      </c>
      <c r="O16" s="7" t="n">
        <v>120</v>
      </c>
      <c r="P16" s="9">
        <f>J16*O16</f>
        <v/>
      </c>
    </row>
    <row r="17">
      <c r="A17" s="2" t="inlineStr">
        <is>
          <t>Rigix [DEMO]</t>
        </is>
      </c>
      <c r="B17" s="2" t="inlineStr">
        <is>
          <t>Cetirizine Dihydrochloride</t>
        </is>
      </c>
      <c r="C17" s="2" t="inlineStr">
        <is>
          <t>AGP Limited</t>
        </is>
      </c>
      <c r="D17" s="2" t="inlineStr">
        <is>
          <t>Antihistamine</t>
        </is>
      </c>
      <c r="E17" s="2" t="inlineStr">
        <is>
          <t>Tablet</t>
        </is>
      </c>
      <c r="F17" s="2" t="inlineStr">
        <is>
          <t>10 mg</t>
        </is>
      </c>
      <c r="G17" s="3" t="n">
        <v>10</v>
      </c>
      <c r="H17" s="2" t="inlineStr">
        <is>
          <t>Tablet</t>
        </is>
      </c>
      <c r="I17" s="4" t="n">
        <v>2009900000163</v>
      </c>
      <c r="J17" s="5" t="n">
        <v>7.5</v>
      </c>
      <c r="K17" s="5" t="n">
        <v>10</v>
      </c>
      <c r="L17" s="3" t="n">
        <v>30</v>
      </c>
      <c r="M17" s="2" t="inlineStr">
        <is>
          <t>DEMO-B16</t>
        </is>
      </c>
      <c r="N17" s="2" t="inlineStr">
        <is>
          <t>2028-06-30</t>
        </is>
      </c>
      <c r="O17" s="3" t="n">
        <v>110</v>
      </c>
      <c r="P17" s="5">
        <f>J17*O17</f>
        <v/>
      </c>
    </row>
    <row r="18">
      <c r="A18" s="6" t="inlineStr">
        <is>
          <t>Softin [DEMO]</t>
        </is>
      </c>
      <c r="B18" s="6" t="inlineStr">
        <is>
          <t>Loratadine</t>
        </is>
      </c>
      <c r="C18" s="6" t="inlineStr">
        <is>
          <t>Werrick Pharmaceuticals</t>
        </is>
      </c>
      <c r="D18" s="6" t="inlineStr">
        <is>
          <t>Antihistamine</t>
        </is>
      </c>
      <c r="E18" s="6" t="inlineStr">
        <is>
          <t>Tablet</t>
        </is>
      </c>
      <c r="F18" s="6" t="inlineStr">
        <is>
          <t>10 mg</t>
        </is>
      </c>
      <c r="G18" s="7" t="n">
        <v>10</v>
      </c>
      <c r="H18" s="6" t="inlineStr">
        <is>
          <t>Tablet</t>
        </is>
      </c>
      <c r="I18" s="8" t="n">
        <v>2009900000170</v>
      </c>
      <c r="J18" s="9" t="n">
        <v>6.8</v>
      </c>
      <c r="K18" s="9" t="n">
        <v>9</v>
      </c>
      <c r="L18" s="7" t="n">
        <v>20</v>
      </c>
      <c r="M18" s="6" t="inlineStr">
        <is>
          <t>DEMO-B17</t>
        </is>
      </c>
      <c r="N18" s="6" t="inlineStr">
        <is>
          <t>2028-04-30</t>
        </is>
      </c>
      <c r="O18" s="7" t="n">
        <v>90</v>
      </c>
      <c r="P18" s="9">
        <f>J18*O18</f>
        <v/>
      </c>
    </row>
    <row r="19">
      <c r="A19" s="2" t="inlineStr">
        <is>
          <t>Ciproxin [DEMO]</t>
        </is>
      </c>
      <c r="B19" s="2" t="inlineStr">
        <is>
          <t>Ciprofloxacin</t>
        </is>
      </c>
      <c r="C19" s="2" t="inlineStr">
        <is>
          <t>Bayer Pakistan</t>
        </is>
      </c>
      <c r="D19" s="2" t="inlineStr">
        <is>
          <t>Antibiotic</t>
        </is>
      </c>
      <c r="E19" s="2" t="inlineStr">
        <is>
          <t>Tablet</t>
        </is>
      </c>
      <c r="F19" s="2" t="inlineStr">
        <is>
          <t>500 mg</t>
        </is>
      </c>
      <c r="G19" s="3" t="n">
        <v>10</v>
      </c>
      <c r="H19" s="2" t="inlineStr">
        <is>
          <t>Tablet</t>
        </is>
      </c>
      <c r="I19" s="4" t="n">
        <v>2009900000187</v>
      </c>
      <c r="J19" s="5" t="n">
        <v>32</v>
      </c>
      <c r="K19" s="5" t="n">
        <v>40</v>
      </c>
      <c r="L19" s="3" t="n">
        <v>20</v>
      </c>
      <c r="M19" s="2" t="inlineStr">
        <is>
          <t>DEMO-B18</t>
        </is>
      </c>
      <c r="N19" s="2" t="inlineStr">
        <is>
          <t>2027-10-31</t>
        </is>
      </c>
      <c r="O19" s="3" t="n">
        <v>70</v>
      </c>
      <c r="P19" s="5">
        <f>J19*O19</f>
        <v/>
      </c>
    </row>
    <row r="20">
      <c r="A20" s="6" t="inlineStr">
        <is>
          <t>Ascard [DEMO]</t>
        </is>
      </c>
      <c r="B20" s="6" t="inlineStr">
        <is>
          <t>Enteric Coated Aspirin</t>
        </is>
      </c>
      <c r="C20" s="6" t="inlineStr">
        <is>
          <t>Atco Laboratories</t>
        </is>
      </c>
      <c r="D20" s="6" t="inlineStr">
        <is>
          <t>Cardiovascular</t>
        </is>
      </c>
      <c r="E20" s="6" t="inlineStr">
        <is>
          <t>Tablet</t>
        </is>
      </c>
      <c r="F20" s="6" t="inlineStr">
        <is>
          <t>75 mg</t>
        </is>
      </c>
      <c r="G20" s="7" t="n">
        <v>30</v>
      </c>
      <c r="H20" s="6" t="inlineStr">
        <is>
          <t>Tablet</t>
        </is>
      </c>
      <c r="I20" s="8" t="n">
        <v>2009900000194</v>
      </c>
      <c r="J20" s="9" t="n">
        <v>2.5</v>
      </c>
      <c r="K20" s="9" t="n">
        <v>3.5</v>
      </c>
      <c r="L20" s="7" t="n">
        <v>60</v>
      </c>
      <c r="M20" s="6" t="inlineStr">
        <is>
          <t>DEMO-B19</t>
        </is>
      </c>
      <c r="N20" s="6" t="inlineStr">
        <is>
          <t>2028-12-31</t>
        </is>
      </c>
      <c r="O20" s="7" t="n">
        <v>300</v>
      </c>
      <c r="P20" s="9">
        <f>J20*O20</f>
        <v/>
      </c>
    </row>
    <row r="21">
      <c r="A21" s="2" t="inlineStr">
        <is>
          <t>Gaviscon Liquid [DEMO]</t>
        </is>
      </c>
      <c r="B21" s="2" t="inlineStr">
        <is>
          <t>Sodium Alginate + Bicarbonate</t>
        </is>
      </c>
      <c r="C21" s="2" t="inlineStr">
        <is>
          <t>Reckitt Benckiser Pakistan</t>
        </is>
      </c>
      <c r="D21" s="2" t="inlineStr">
        <is>
          <t>Syrup / Pediatric</t>
        </is>
      </c>
      <c r="E21" s="2" t="inlineStr">
        <is>
          <t>Suspension</t>
        </is>
      </c>
      <c r="F21" s="2" t="inlineStr">
        <is>
          <t>200 ml</t>
        </is>
      </c>
      <c r="G21" s="3" t="n">
        <v>1</v>
      </c>
      <c r="H21" s="2" t="inlineStr">
        <is>
          <t>Bottle</t>
        </is>
      </c>
      <c r="I21" s="4" t="n">
        <v>2009900000200</v>
      </c>
      <c r="J21" s="5" t="n">
        <v>185</v>
      </c>
      <c r="K21" s="5" t="n">
        <v>225</v>
      </c>
      <c r="L21" s="3" t="n">
        <v>10</v>
      </c>
      <c r="M21" s="2" t="inlineStr">
        <is>
          <t>DEMO-B20</t>
        </is>
      </c>
      <c r="N21" s="2" t="inlineStr">
        <is>
          <t>2027-08-31</t>
        </is>
      </c>
      <c r="O21" s="3" t="n">
        <v>30</v>
      </c>
      <c r="P21" s="5">
        <f>J21*O21</f>
        <v/>
      </c>
    </row>
    <row r="22">
      <c r="A22" s="10" t="inlineStr">
        <is>
          <t>Total Demonstration Inventory</t>
        </is>
      </c>
      <c r="B22" s="10" t="n"/>
      <c r="C22" s="10" t="n"/>
      <c r="D22" s="10" t="n"/>
      <c r="E22" s="10" t="n"/>
      <c r="F22" s="10" t="n"/>
      <c r="G22" s="11">
        <f>AVERAGE(G2:G21)</f>
        <v/>
      </c>
      <c r="H22" s="10" t="n"/>
      <c r="I22" s="12" t="n"/>
      <c r="J22" s="13">
        <f>AVERAGE(J2:J21)</f>
        <v/>
      </c>
      <c r="K22" s="13">
        <f>AVERAGE(K2:K21)</f>
        <v/>
      </c>
      <c r="L22" s="11">
        <f>SUM(L2:L21)</f>
        <v/>
      </c>
      <c r="M22" s="10" t="n"/>
      <c r="N22" s="10" t="n"/>
      <c r="O22" s="11">
        <f>SUM(O2:O21)</f>
        <v/>
      </c>
      <c r="P22" s="13">
        <f>SUM(P2:P21)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2026-10-25T23:17:28Z</dcterms:created>
  <dcterms:modified xmlns:dcterms="http://purl.org/dc/terms/" xmlns:xsi="http://www.w3.org/2001/XMLSchema-instance" xsi:type="dcterms:W3CDTF">2026-10-25T23:17:28Z</dcterms:modified>
</cp:coreProperties>
</file>